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pengl\Desktop\积灰标定\"/>
    </mc:Choice>
  </mc:AlternateContent>
  <xr:revisionPtr revIDLastSave="0" documentId="13_ncr:1_{4F1EEE5F-340B-47D3-9374-5F7D62C7818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校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S3" i="1"/>
  <c r="T3" i="1" s="1"/>
  <c r="V3" i="1" s="1"/>
  <c r="R2" i="1"/>
  <c r="S2" i="1" s="1"/>
  <c r="T2" i="1" s="1"/>
  <c r="V2" i="1" l="1"/>
</calcChain>
</file>

<file path=xl/sharedStrings.xml><?xml version="1.0" encoding="utf-8"?>
<sst xmlns="http://schemas.openxmlformats.org/spreadsheetml/2006/main" count="54" uniqueCount="54">
  <si>
    <t>NO.</t>
  </si>
  <si>
    <t>C1/C2</t>
  </si>
  <si>
    <t>C1</t>
  </si>
  <si>
    <t>C2</t>
  </si>
  <si>
    <t>BK</t>
  </si>
  <si>
    <t>SC1</t>
  </si>
  <si>
    <t>SC2</t>
  </si>
  <si>
    <t>SC3</t>
  </si>
  <si>
    <t>SC4</t>
  </si>
  <si>
    <t>Temp</t>
  </si>
  <si>
    <t>C1,C2,BK,SC,T,X,Y</t>
  </si>
  <si>
    <t>S0</t>
  </si>
  <si>
    <t>参数</t>
  </si>
  <si>
    <t>发送指令</t>
  </si>
  <si>
    <t xml:space="preserve"> 00C1B7,004BFE,00001E,000017,000015,000015,000089,091F</t>
  </si>
  <si>
    <t>k=</t>
  </si>
  <si>
    <t>A1</t>
  </si>
  <si>
    <t xml:space="preserve">01 10 00 09 00 02 04 </t>
  </si>
  <si>
    <t xml:space="preserve"> 00C1B7,004BFE,000018,000011,000016,000017,000081,091E</t>
  </si>
  <si>
    <t>b=</t>
  </si>
  <si>
    <t>A2</t>
  </si>
  <si>
    <t xml:space="preserve"> 00C039,004BFE,000016,000014,000016,000017,000081,091D</t>
  </si>
  <si>
    <t>c=</t>
  </si>
  <si>
    <t>A3</t>
  </si>
  <si>
    <t xml:space="preserve"> 00C334,004BFE,000014,000012,000012,000014,000089,091E</t>
  </si>
  <si>
    <t xml:space="preserve"> 00C334,004BFE,000012,000011,000012,000016,000081,091C</t>
  </si>
  <si>
    <t xml:space="preserve"> 012410,004BFE,000017,000002,000012,00000F,000081,091D</t>
  </si>
  <si>
    <t>#</t>
  </si>
  <si>
    <t xml:space="preserve"> 012410,004BFE,00001D,00000F,00001B,00000E,000081,091D</t>
  </si>
  <si>
    <t>参考值</t>
  </si>
  <si>
    <t>测量值</t>
  </si>
  <si>
    <t xml:space="preserve"> 012292,004BFE,000002,000000,000011,00000F,00007A,091D</t>
  </si>
  <si>
    <t xml:space="preserve"> 012292,004BFE,000013,00000F,000005,00001D,00007A,091D</t>
  </si>
  <si>
    <t xml:space="preserve"> 01258D,004BFE,00000F,00000C,000007,000001,00007A,0920</t>
  </si>
  <si>
    <t xml:space="preserve"> 016E91,004BFE,000001,00000A,000000,000004,000072,090F</t>
  </si>
  <si>
    <t xml:space="preserve"> 016E91,004BFE,00000E,00000B,000002,000007,000072,090F</t>
  </si>
  <si>
    <t xml:space="preserve"> 016E91,004BFE,00000F,000007,00001C,00000C,000072,0910</t>
  </si>
  <si>
    <t xml:space="preserve"> 01700F,004BFE,000007,000002,000001,000001,00007A,090D</t>
  </si>
  <si>
    <t xml:space="preserve"> 01700F,004BFE,00000D,000011,00001D,00000A,00006A,090E</t>
  </si>
  <si>
    <t xml:space="preserve"> 027DC5,004BFE,00001C,000000,00000E,00000B,000072,090C</t>
  </si>
  <si>
    <t xml:space="preserve"> 027DC5,004BFE,00001B,00001B,00000D,000007,00006A,090C</t>
  </si>
  <si>
    <t xml:space="preserve"> 027DC5,004BFE,00001D,000001,00000B,00000E,00006A,090E</t>
  </si>
  <si>
    <t xml:space="preserve"> 0280BF,004BFE,00001C,00001A,000000,00000C,00006A,090E</t>
  </si>
  <si>
    <t xml:space="preserve"> 027C47,004BFE,000001,000000,00000C,00000C,00006A,0910</t>
  </si>
  <si>
    <t xml:space="preserve"> 03A1D5,004BFE,00001B,00000D,000018,00000A,000063,0911</t>
  </si>
  <si>
    <t xml:space="preserve"> 03A057,004BFE,00000E,000003,00000D,00000E,00006A,0912</t>
  </si>
  <si>
    <t xml:space="preserve"> 03A352,004BFE,00000D,000001,00000D,000008,000063,0913</t>
  </si>
  <si>
    <t xml:space="preserve"> 03A352,004BFE,00000F,00000D,00000E,00000C,000063,0913</t>
  </si>
  <si>
    <t xml:space="preserve"> 03A352,004BFE,000004,000004,000F41,00000F,000063,0912</t>
  </si>
  <si>
    <t xml:space="preserve"> 0647D5,004BFE,00000C,00000A,00000A,00000C,00005B,0919</t>
  </si>
  <si>
    <t xml:space="preserve"> 0647D5,004BFE,00000C,00000B,00000C,00000E,00005B,0917</t>
  </si>
  <si>
    <t xml:space="preserve"> 064953,004BFE,00000A,000005,00000D,00000B,00005B,0917</t>
  </si>
  <si>
    <t xml:space="preserve"> 064953,004BFE,00000C,00000A,00000F,00000C,00005B,091C</t>
  </si>
  <si>
    <t xml:space="preserve"> 064953,004BFE,00000B,00000A,00000B,00000B,00005B,091B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</si>
</sst>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17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77" fontId="0" fillId="2" borderId="1" xfId="0" applyNumberFormat="1" applyFill="1" applyBorder="1"/>
    <xf numFmtId="49" fontId="0" fillId="0" borderId="1" xfId="0" applyNumberFormat="1" applyBorder="1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176" fontId="0" fillId="3" borderId="1" xfId="0" applyNumberFormat="1" applyFill="1" applyBorder="1"/>
    <xf numFmtId="0" fontId="3" fillId="0" borderId="0" xfId="0" applyFont="1"/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 rot="0" spcFirstLastPara="0" vertOverflow="ellipsis" vert="horz" wrap="square" anchor="ctr" anchorCtr="1"/>
        <a:lstStyle/>
        <a:p>
          <a:pPr>
            <a:defRPr lang="zh-CN"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476750310882796E-2"/>
          <c:y val="0.20814408805496801"/>
          <c:w val="0.64551367612800203"/>
          <c:h val="0.68300085037207003"/>
        </c:manualLayout>
      </c:layout>
      <c:scatterChart>
        <c:scatterStyle val="lineMarker"/>
        <c:varyColors val="0"/>
        <c:ser>
          <c:idx val="0"/>
          <c:order val="0"/>
          <c:tx>
            <c:strRef>
              <c:f>校准!$L$1</c:f>
              <c:strCache>
                <c:ptCount val="1"/>
                <c:pt idx="0">
                  <c:v>S0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26562839020122497"/>
                  <c:y val="-0.31132837561971399"/>
                </c:manualLayout>
              </c:layout>
              <c:numFmt formatCode="General" sourceLinked="0"/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校准!$B$2:$B$31</c:f>
              <c:numCache>
                <c:formatCode>0.00_ </c:formatCode>
                <c:ptCount val="30"/>
                <c:pt idx="0">
                  <c:v>1.0660000000000001</c:v>
                </c:pt>
                <c:pt idx="1">
                  <c:v>1.0660000000000001</c:v>
                </c:pt>
                <c:pt idx="2">
                  <c:v>1.0660000000000001</c:v>
                </c:pt>
                <c:pt idx="3">
                  <c:v>1.0660000000000001</c:v>
                </c:pt>
                <c:pt idx="4">
                  <c:v>1.0660000000000001</c:v>
                </c:pt>
                <c:pt idx="5">
                  <c:v>1.82</c:v>
                </c:pt>
                <c:pt idx="6">
                  <c:v>1.82</c:v>
                </c:pt>
                <c:pt idx="7">
                  <c:v>1.83</c:v>
                </c:pt>
                <c:pt idx="8">
                  <c:v>1.83</c:v>
                </c:pt>
                <c:pt idx="9">
                  <c:v>1.83</c:v>
                </c:pt>
                <c:pt idx="10">
                  <c:v>2.4700000000000002</c:v>
                </c:pt>
                <c:pt idx="11">
                  <c:v>2.4700000000000002</c:v>
                </c:pt>
                <c:pt idx="12">
                  <c:v>2.4700000000000002</c:v>
                </c:pt>
                <c:pt idx="13">
                  <c:v>2.4700000000000002</c:v>
                </c:pt>
                <c:pt idx="14">
                  <c:v>2.4700000000000002</c:v>
                </c:pt>
                <c:pt idx="15">
                  <c:v>4.55</c:v>
                </c:pt>
                <c:pt idx="16">
                  <c:v>4.55</c:v>
                </c:pt>
                <c:pt idx="17">
                  <c:v>4.55</c:v>
                </c:pt>
                <c:pt idx="18">
                  <c:v>4.55</c:v>
                </c:pt>
                <c:pt idx="19">
                  <c:v>4.55</c:v>
                </c:pt>
                <c:pt idx="20">
                  <c:v>7.61</c:v>
                </c:pt>
                <c:pt idx="21">
                  <c:v>7.62</c:v>
                </c:pt>
                <c:pt idx="22">
                  <c:v>7.64</c:v>
                </c:pt>
                <c:pt idx="23">
                  <c:v>7.64</c:v>
                </c:pt>
                <c:pt idx="24">
                  <c:v>7.61</c:v>
                </c:pt>
                <c:pt idx="25">
                  <c:v>11.29</c:v>
                </c:pt>
                <c:pt idx="26">
                  <c:v>11.39</c:v>
                </c:pt>
                <c:pt idx="27">
                  <c:v>11.42</c:v>
                </c:pt>
                <c:pt idx="28">
                  <c:v>11.42</c:v>
                </c:pt>
                <c:pt idx="29">
                  <c:v>11.43</c:v>
                </c:pt>
              </c:numCache>
            </c:numRef>
          </c:xVal>
          <c:yVal>
            <c:numRef>
              <c:f>校准!$L$2:$L$31</c:f>
              <c:numCache>
                <c:formatCode>General</c:formatCode>
                <c:ptCount val="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99</c:v>
                </c:pt>
                <c:pt idx="6">
                  <c:v>99</c:v>
                </c:pt>
                <c:pt idx="7">
                  <c:v>99</c:v>
                </c:pt>
                <c:pt idx="8">
                  <c:v>99</c:v>
                </c:pt>
                <c:pt idx="9">
                  <c:v>99</c:v>
                </c:pt>
                <c:pt idx="10">
                  <c:v>97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91.6</c:v>
                </c:pt>
                <c:pt idx="16">
                  <c:v>91.6</c:v>
                </c:pt>
                <c:pt idx="17">
                  <c:v>91.6</c:v>
                </c:pt>
                <c:pt idx="18">
                  <c:v>91.6</c:v>
                </c:pt>
                <c:pt idx="19">
                  <c:v>91.6</c:v>
                </c:pt>
                <c:pt idx="20">
                  <c:v>85</c:v>
                </c:pt>
                <c:pt idx="21">
                  <c:v>85</c:v>
                </c:pt>
                <c:pt idx="22">
                  <c:v>85</c:v>
                </c:pt>
                <c:pt idx="23">
                  <c:v>85</c:v>
                </c:pt>
                <c:pt idx="24">
                  <c:v>85</c:v>
                </c:pt>
                <c:pt idx="25">
                  <c:v>72.400000000000006</c:v>
                </c:pt>
                <c:pt idx="26">
                  <c:v>72.400000000000006</c:v>
                </c:pt>
                <c:pt idx="27">
                  <c:v>72.400000000000006</c:v>
                </c:pt>
                <c:pt idx="28">
                  <c:v>72.400000000000006</c:v>
                </c:pt>
                <c:pt idx="29">
                  <c:v>72.400000000000006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4F-4B05-AC7E-5150FC9C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1374720"/>
        <c:axId val="241376256"/>
      </c:scatterChart>
      <c:valAx>
        <c:axId val="241374720"/>
        <c:scaling>
          <c:orientation val="minMax"/>
        </c:scaling>
        <c:delete val="0"/>
        <c:axPos val="b"/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376256"/>
        <c:crosses val="autoZero"/>
        <c:crossBetween val="midCat"/>
      </c:valAx>
      <c:valAx>
        <c:axId val="2413762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41374720"/>
        <c:crosses val="autoZero"/>
        <c:crossBetween val="midCat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e54ee3e-ff18-4763-90eb-10e1d4ca2643}"/>
      </c:ext>
    </c:extLst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83047</xdr:colOff>
      <xdr:row>5</xdr:row>
      <xdr:rowOff>142295</xdr:rowOff>
    </xdr:from>
    <xdr:to>
      <xdr:col>20</xdr:col>
      <xdr:colOff>182107</xdr:colOff>
      <xdr:row>20</xdr:row>
      <xdr:rowOff>142295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zoomScaleNormal="100" workbookViewId="0">
      <selection activeCell="A32" sqref="A32:XFD32"/>
    </sheetView>
  </sheetViews>
  <sheetFormatPr defaultColWidth="9" defaultRowHeight="14" x14ac:dyDescent="0.25"/>
  <cols>
    <col min="1" max="5" width="8.90625" style="1"/>
    <col min="6" max="6" width="8.6328125" style="1"/>
    <col min="7" max="10" width="8.90625" style="1"/>
    <col min="11" max="11" width="65.90625" style="1" customWidth="1"/>
    <col min="12" max="12" width="8.90625" style="1"/>
    <col min="18" max="18" width="11.90625" customWidth="1"/>
    <col min="21" max="21" width="29.6328125" customWidth="1"/>
    <col min="22" max="22" width="31.6328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T1" s="2" t="s">
        <v>12</v>
      </c>
      <c r="U1" s="2"/>
      <c r="V1" s="2" t="s">
        <v>13</v>
      </c>
    </row>
    <row r="2" spans="1:25" x14ac:dyDescent="0.25">
      <c r="A2" s="1">
        <v>1</v>
      </c>
      <c r="B2" s="4">
        <v>1.0660000000000001</v>
      </c>
      <c r="C2" s="1">
        <v>49591</v>
      </c>
      <c r="D2" s="1">
        <v>19454</v>
      </c>
      <c r="E2" s="1">
        <v>99</v>
      </c>
      <c r="F2" s="1">
        <v>20</v>
      </c>
      <c r="G2" s="1">
        <v>15</v>
      </c>
      <c r="H2" s="5">
        <v>18</v>
      </c>
      <c r="I2" s="1">
        <v>23</v>
      </c>
      <c r="J2" s="1">
        <v>29</v>
      </c>
      <c r="K2" s="1" t="s">
        <v>14</v>
      </c>
      <c r="L2" s="1">
        <v>100</v>
      </c>
      <c r="O2" s="1" t="s">
        <v>15</v>
      </c>
      <c r="P2" s="13">
        <v>-2.6482999999999999</v>
      </c>
      <c r="Q2" s="6" t="s">
        <v>16</v>
      </c>
      <c r="R2" s="7">
        <f>(-1)*P2</f>
        <v>2.6482999999999999</v>
      </c>
      <c r="S2">
        <f>R2*10000</f>
        <v>26483</v>
      </c>
      <c r="T2" s="2" t="str">
        <f>DEC2HEX(S2)</f>
        <v>6773</v>
      </c>
      <c r="U2" s="8" t="s">
        <v>17</v>
      </c>
      <c r="V2" s="2" t="str">
        <f>U2&amp;T2&amp;T3</f>
        <v>01 10 00 09 00 02 04 67732878</v>
      </c>
    </row>
    <row r="3" spans="1:25" x14ac:dyDescent="0.25">
      <c r="A3" s="1">
        <v>2</v>
      </c>
      <c r="B3" s="4">
        <v>1.0660000000000001</v>
      </c>
      <c r="C3" s="1">
        <v>49591</v>
      </c>
      <c r="D3" s="1">
        <v>19454</v>
      </c>
      <c r="E3" s="1">
        <v>106</v>
      </c>
      <c r="F3" s="1">
        <v>20</v>
      </c>
      <c r="G3" s="1">
        <v>29</v>
      </c>
      <c r="H3" s="1">
        <v>21</v>
      </c>
      <c r="I3" s="1">
        <v>20</v>
      </c>
      <c r="J3" s="1">
        <v>29</v>
      </c>
      <c r="K3" s="1" t="s">
        <v>18</v>
      </c>
      <c r="L3" s="1">
        <v>100</v>
      </c>
      <c r="O3" s="1" t="s">
        <v>19</v>
      </c>
      <c r="P3" s="13">
        <v>103.6</v>
      </c>
      <c r="Q3" s="6" t="s">
        <v>20</v>
      </c>
      <c r="R3" s="7"/>
      <c r="S3">
        <f>P3*100</f>
        <v>10360</v>
      </c>
      <c r="T3" s="2" t="str">
        <f>DEC2HEX(S3)</f>
        <v>2878</v>
      </c>
      <c r="U3" s="2"/>
      <c r="V3" s="2" t="str">
        <f t="shared" ref="V3" si="0">U3&amp;T3</f>
        <v>2878</v>
      </c>
    </row>
    <row r="4" spans="1:25" x14ac:dyDescent="0.25">
      <c r="A4" s="1">
        <v>3</v>
      </c>
      <c r="B4" s="4">
        <v>1.0660000000000001</v>
      </c>
      <c r="C4" s="1">
        <v>49209</v>
      </c>
      <c r="D4" s="1">
        <v>19454</v>
      </c>
      <c r="E4" s="1">
        <v>99</v>
      </c>
      <c r="F4" s="1">
        <v>30</v>
      </c>
      <c r="G4" s="1">
        <v>15</v>
      </c>
      <c r="H4" s="1">
        <v>27</v>
      </c>
      <c r="I4" s="1">
        <v>19</v>
      </c>
      <c r="J4" s="1">
        <v>29</v>
      </c>
      <c r="K4" s="1" t="s">
        <v>21</v>
      </c>
      <c r="L4" s="1">
        <v>100</v>
      </c>
      <c r="O4" s="1" t="s">
        <v>22</v>
      </c>
      <c r="P4" s="2"/>
      <c r="Q4" s="6" t="s">
        <v>23</v>
      </c>
      <c r="R4" s="7">
        <f>P3</f>
        <v>103.6</v>
      </c>
    </row>
    <row r="5" spans="1:25" x14ac:dyDescent="0.25">
      <c r="A5" s="1">
        <v>4</v>
      </c>
      <c r="B5" s="4">
        <v>1.0660000000000001</v>
      </c>
      <c r="C5" s="1">
        <v>49972</v>
      </c>
      <c r="D5" s="1">
        <v>19454</v>
      </c>
      <c r="E5" s="1">
        <v>106</v>
      </c>
      <c r="F5" s="1">
        <v>28</v>
      </c>
      <c r="G5" s="1">
        <v>16</v>
      </c>
      <c r="H5" s="1">
        <v>23</v>
      </c>
      <c r="I5" s="1">
        <v>28</v>
      </c>
      <c r="J5" s="1">
        <v>29</v>
      </c>
      <c r="K5" s="1" t="s">
        <v>24</v>
      </c>
      <c r="L5" s="1">
        <v>100</v>
      </c>
    </row>
    <row r="6" spans="1:25" x14ac:dyDescent="0.25">
      <c r="A6" s="1">
        <v>5</v>
      </c>
      <c r="B6" s="4">
        <v>1.0660000000000001</v>
      </c>
      <c r="C6" s="1">
        <v>49972</v>
      </c>
      <c r="D6" s="1">
        <v>19454</v>
      </c>
      <c r="E6" s="1">
        <v>106</v>
      </c>
      <c r="F6" s="1">
        <v>20</v>
      </c>
      <c r="G6" s="1">
        <v>18</v>
      </c>
      <c r="H6" s="1">
        <v>20</v>
      </c>
      <c r="I6" s="1">
        <v>17</v>
      </c>
      <c r="J6" s="1">
        <v>29</v>
      </c>
      <c r="K6" s="1" t="s">
        <v>25</v>
      </c>
      <c r="L6" s="1">
        <v>100</v>
      </c>
    </row>
    <row r="7" spans="1:25" x14ac:dyDescent="0.25">
      <c r="A7" s="1">
        <v>6</v>
      </c>
      <c r="B7" s="4">
        <v>1.82</v>
      </c>
      <c r="C7" s="1">
        <v>74768</v>
      </c>
      <c r="D7" s="1">
        <v>19454</v>
      </c>
      <c r="E7" s="1">
        <v>83</v>
      </c>
      <c r="F7" s="1">
        <v>18</v>
      </c>
      <c r="G7" s="1">
        <v>19</v>
      </c>
      <c r="H7" s="1">
        <v>3</v>
      </c>
      <c r="I7" s="1">
        <v>17</v>
      </c>
      <c r="J7" s="1">
        <v>29</v>
      </c>
      <c r="K7" s="1" t="s">
        <v>26</v>
      </c>
      <c r="L7" s="1">
        <v>99</v>
      </c>
      <c r="X7" s="9" t="s">
        <v>27</v>
      </c>
    </row>
    <row r="8" spans="1:25" x14ac:dyDescent="0.25">
      <c r="A8" s="1">
        <v>7</v>
      </c>
      <c r="B8" s="4">
        <v>1.82</v>
      </c>
      <c r="C8" s="1">
        <v>74768</v>
      </c>
      <c r="D8" s="1">
        <v>19454</v>
      </c>
      <c r="E8" s="1">
        <v>83</v>
      </c>
      <c r="F8" s="1">
        <v>21</v>
      </c>
      <c r="G8" s="1">
        <v>29</v>
      </c>
      <c r="H8" s="1">
        <v>20</v>
      </c>
      <c r="I8" s="1">
        <v>1</v>
      </c>
      <c r="J8" s="1">
        <v>29</v>
      </c>
      <c r="K8" s="1" t="s">
        <v>28</v>
      </c>
      <c r="L8" s="1">
        <v>99</v>
      </c>
      <c r="X8" s="10" t="s">
        <v>29</v>
      </c>
      <c r="Y8" s="10" t="s">
        <v>30</v>
      </c>
    </row>
    <row r="9" spans="1:25" x14ac:dyDescent="0.25">
      <c r="A9" s="1">
        <v>8</v>
      </c>
      <c r="B9" s="4">
        <v>1.83</v>
      </c>
      <c r="C9" s="1">
        <v>74386</v>
      </c>
      <c r="D9" s="1">
        <v>19454</v>
      </c>
      <c r="E9" s="1">
        <v>76</v>
      </c>
      <c r="F9" s="1">
        <v>10</v>
      </c>
      <c r="G9" s="1">
        <v>30</v>
      </c>
      <c r="H9" s="1">
        <v>18</v>
      </c>
      <c r="I9" s="1">
        <v>29</v>
      </c>
      <c r="J9" s="1">
        <v>29</v>
      </c>
      <c r="K9" s="1" t="s">
        <v>31</v>
      </c>
      <c r="L9" s="1">
        <v>99</v>
      </c>
      <c r="W9" s="14">
        <v>0.01</v>
      </c>
      <c r="X9" s="11">
        <v>100</v>
      </c>
      <c r="Y9" s="12">
        <v>100</v>
      </c>
    </row>
    <row r="10" spans="1:25" x14ac:dyDescent="0.25">
      <c r="A10" s="1">
        <v>9</v>
      </c>
      <c r="B10" s="4">
        <v>1.83</v>
      </c>
      <c r="C10" s="1">
        <v>74386</v>
      </c>
      <c r="D10" s="1">
        <v>19454</v>
      </c>
      <c r="E10" s="1">
        <v>83</v>
      </c>
      <c r="F10" s="1">
        <v>20</v>
      </c>
      <c r="G10" s="1">
        <v>15</v>
      </c>
      <c r="H10" s="1">
        <v>19</v>
      </c>
      <c r="I10" s="1">
        <v>27</v>
      </c>
      <c r="J10" s="1">
        <v>29</v>
      </c>
      <c r="K10" s="1" t="s">
        <v>32</v>
      </c>
      <c r="L10" s="1">
        <v>99</v>
      </c>
      <c r="W10" s="15"/>
      <c r="X10" s="11">
        <v>99</v>
      </c>
      <c r="Y10" s="12">
        <v>98.83</v>
      </c>
    </row>
    <row r="11" spans="1:25" x14ac:dyDescent="0.25">
      <c r="A11" s="1">
        <v>10</v>
      </c>
      <c r="B11" s="4">
        <v>1.83</v>
      </c>
      <c r="C11" s="1">
        <v>75149</v>
      </c>
      <c r="D11" s="1">
        <v>19454</v>
      </c>
      <c r="E11" s="1">
        <v>99</v>
      </c>
      <c r="F11" s="1">
        <v>29</v>
      </c>
      <c r="G11" s="1">
        <v>25</v>
      </c>
      <c r="H11" s="1">
        <v>7</v>
      </c>
      <c r="I11" s="1">
        <v>19</v>
      </c>
      <c r="J11" s="1">
        <v>29</v>
      </c>
      <c r="K11" s="1" t="s">
        <v>33</v>
      </c>
      <c r="L11" s="1">
        <v>99</v>
      </c>
      <c r="W11" s="15"/>
      <c r="X11" s="11">
        <v>97</v>
      </c>
      <c r="Y11" s="12">
        <v>97.27</v>
      </c>
    </row>
    <row r="12" spans="1:25" x14ac:dyDescent="0.25">
      <c r="A12" s="1">
        <v>11</v>
      </c>
      <c r="B12" s="4">
        <v>2.4700000000000002</v>
      </c>
      <c r="C12" s="1">
        <v>93841</v>
      </c>
      <c r="D12" s="1">
        <v>19454</v>
      </c>
      <c r="E12" s="1">
        <v>99</v>
      </c>
      <c r="F12" s="1">
        <v>15</v>
      </c>
      <c r="G12" s="1">
        <v>3</v>
      </c>
      <c r="H12" s="1">
        <v>18</v>
      </c>
      <c r="I12" s="1">
        <v>26</v>
      </c>
      <c r="J12" s="1">
        <v>29</v>
      </c>
      <c r="K12" s="1" t="s">
        <v>34</v>
      </c>
      <c r="L12" s="1">
        <v>97</v>
      </c>
      <c r="W12" s="15"/>
      <c r="X12" s="11">
        <v>91.4</v>
      </c>
      <c r="Y12" s="12">
        <v>91.59</v>
      </c>
    </row>
    <row r="13" spans="1:25" x14ac:dyDescent="0.25">
      <c r="A13" s="1">
        <v>12</v>
      </c>
      <c r="B13" s="4">
        <v>2.4700000000000002</v>
      </c>
      <c r="C13" s="1">
        <v>93841</v>
      </c>
      <c r="D13" s="1">
        <v>19454</v>
      </c>
      <c r="E13" s="1">
        <v>83</v>
      </c>
      <c r="F13" s="1">
        <v>1</v>
      </c>
      <c r="G13" s="1">
        <v>15</v>
      </c>
      <c r="H13" s="1">
        <v>0</v>
      </c>
      <c r="I13" s="1">
        <v>13</v>
      </c>
      <c r="J13" s="1">
        <v>29</v>
      </c>
      <c r="K13" s="1" t="s">
        <v>35</v>
      </c>
      <c r="L13" s="1">
        <v>97</v>
      </c>
      <c r="W13" s="15"/>
      <c r="X13" s="11">
        <v>85</v>
      </c>
      <c r="Y13" s="12">
        <v>85.35</v>
      </c>
    </row>
    <row r="14" spans="1:25" x14ac:dyDescent="0.25">
      <c r="A14" s="1">
        <v>13</v>
      </c>
      <c r="B14" s="4">
        <v>2.4700000000000002</v>
      </c>
      <c r="C14" s="1">
        <v>93841</v>
      </c>
      <c r="D14" s="1">
        <v>19454</v>
      </c>
      <c r="E14" s="1">
        <v>83</v>
      </c>
      <c r="F14" s="1">
        <v>28</v>
      </c>
      <c r="G14" s="1">
        <v>29</v>
      </c>
      <c r="H14" s="1">
        <v>30</v>
      </c>
      <c r="I14" s="1">
        <v>23</v>
      </c>
      <c r="J14" s="1">
        <v>29</v>
      </c>
      <c r="K14" s="1" t="s">
        <v>36</v>
      </c>
      <c r="L14" s="1">
        <v>97</v>
      </c>
      <c r="W14" s="15"/>
      <c r="X14" s="11">
        <v>72.400000000000006</v>
      </c>
      <c r="Y14" s="12">
        <v>73.37</v>
      </c>
    </row>
    <row r="15" spans="1:25" x14ac:dyDescent="0.25">
      <c r="A15" s="1">
        <v>14</v>
      </c>
      <c r="B15" s="4">
        <v>2.4700000000000002</v>
      </c>
      <c r="C15" s="1">
        <v>94223</v>
      </c>
      <c r="D15" s="1">
        <v>19454</v>
      </c>
      <c r="E15" s="1">
        <v>91</v>
      </c>
      <c r="F15" s="1">
        <v>26</v>
      </c>
      <c r="G15" s="1">
        <v>29</v>
      </c>
      <c r="H15" s="1">
        <v>19</v>
      </c>
      <c r="I15" s="1">
        <v>22</v>
      </c>
      <c r="J15" s="1">
        <v>29</v>
      </c>
      <c r="K15" s="1" t="s">
        <v>37</v>
      </c>
      <c r="L15" s="1">
        <v>97</v>
      </c>
      <c r="W15" s="14">
        <v>0.05</v>
      </c>
      <c r="X15" s="2">
        <v>58.4</v>
      </c>
      <c r="Y15" s="3">
        <v>63.25</v>
      </c>
    </row>
    <row r="16" spans="1:25" x14ac:dyDescent="0.25">
      <c r="A16" s="1">
        <v>15</v>
      </c>
      <c r="B16" s="4">
        <v>2.4700000000000002</v>
      </c>
      <c r="C16" s="1">
        <v>94223</v>
      </c>
      <c r="D16" s="1">
        <v>19454</v>
      </c>
      <c r="E16" s="1">
        <v>76</v>
      </c>
      <c r="F16" s="1">
        <v>27</v>
      </c>
      <c r="G16" s="1">
        <v>10</v>
      </c>
      <c r="H16" s="1">
        <v>28</v>
      </c>
      <c r="I16" s="1">
        <v>29</v>
      </c>
      <c r="J16" s="1">
        <v>29</v>
      </c>
      <c r="K16" s="1" t="s">
        <v>38</v>
      </c>
      <c r="L16" s="1">
        <v>97</v>
      </c>
      <c r="W16" s="15"/>
      <c r="X16" s="2">
        <v>49.4</v>
      </c>
      <c r="Y16" s="3">
        <v>52.13</v>
      </c>
    </row>
    <row r="17" spans="1:12" x14ac:dyDescent="0.25">
      <c r="A17" s="1">
        <v>16</v>
      </c>
      <c r="B17" s="4">
        <v>4.55</v>
      </c>
      <c r="C17" s="1">
        <v>163269</v>
      </c>
      <c r="D17" s="1">
        <v>19454</v>
      </c>
      <c r="E17" s="1">
        <v>76</v>
      </c>
      <c r="F17" s="1">
        <v>16</v>
      </c>
      <c r="G17" s="1">
        <v>18</v>
      </c>
      <c r="H17" s="1">
        <v>28</v>
      </c>
      <c r="I17" s="1">
        <v>1</v>
      </c>
      <c r="J17" s="1">
        <v>29</v>
      </c>
      <c r="K17" s="1" t="s">
        <v>39</v>
      </c>
      <c r="L17" s="1">
        <v>91.6</v>
      </c>
    </row>
    <row r="18" spans="1:12" x14ac:dyDescent="0.25">
      <c r="A18" s="1">
        <v>17</v>
      </c>
      <c r="B18" s="4">
        <v>4.55</v>
      </c>
      <c r="C18" s="1">
        <v>163269</v>
      </c>
      <c r="D18" s="1">
        <v>19454</v>
      </c>
      <c r="E18" s="1">
        <v>76</v>
      </c>
      <c r="F18" s="1">
        <v>28</v>
      </c>
      <c r="G18" s="1">
        <v>28</v>
      </c>
      <c r="H18" s="1">
        <v>16</v>
      </c>
      <c r="I18" s="1">
        <v>18</v>
      </c>
      <c r="J18" s="1">
        <v>29</v>
      </c>
      <c r="K18" s="1" t="s">
        <v>40</v>
      </c>
      <c r="L18" s="1">
        <v>91.6</v>
      </c>
    </row>
    <row r="19" spans="1:12" x14ac:dyDescent="0.25">
      <c r="A19" s="1">
        <v>18</v>
      </c>
      <c r="B19" s="4">
        <v>4.55</v>
      </c>
      <c r="C19" s="1">
        <v>163269</v>
      </c>
      <c r="D19" s="1">
        <v>19454</v>
      </c>
      <c r="E19" s="1">
        <v>91</v>
      </c>
      <c r="F19" s="1">
        <v>26</v>
      </c>
      <c r="G19" s="1">
        <v>17</v>
      </c>
      <c r="H19" s="1">
        <v>7</v>
      </c>
      <c r="I19" s="1">
        <v>15</v>
      </c>
      <c r="J19" s="1">
        <v>29</v>
      </c>
      <c r="K19" s="1" t="s">
        <v>41</v>
      </c>
      <c r="L19" s="1">
        <v>91.6</v>
      </c>
    </row>
    <row r="20" spans="1:12" x14ac:dyDescent="0.25">
      <c r="A20" s="1">
        <v>19</v>
      </c>
      <c r="B20" s="4">
        <v>4.55</v>
      </c>
      <c r="C20" s="1">
        <v>164031</v>
      </c>
      <c r="D20" s="1">
        <v>19454</v>
      </c>
      <c r="E20" s="1">
        <v>91</v>
      </c>
      <c r="F20" s="1">
        <v>18</v>
      </c>
      <c r="G20" s="1">
        <v>2</v>
      </c>
      <c r="H20" s="1">
        <v>28</v>
      </c>
      <c r="I20" s="1">
        <v>16</v>
      </c>
      <c r="J20" s="1">
        <v>29</v>
      </c>
      <c r="K20" s="1" t="s">
        <v>42</v>
      </c>
      <c r="L20" s="1">
        <v>91.6</v>
      </c>
    </row>
    <row r="21" spans="1:12" x14ac:dyDescent="0.25">
      <c r="A21" s="1">
        <v>20</v>
      </c>
      <c r="B21" s="4">
        <v>4.55</v>
      </c>
      <c r="C21" s="1">
        <v>162887</v>
      </c>
      <c r="D21" s="1">
        <v>19454</v>
      </c>
      <c r="E21" s="1">
        <v>76</v>
      </c>
      <c r="F21" s="1">
        <v>7</v>
      </c>
      <c r="G21" s="1">
        <v>7</v>
      </c>
      <c r="H21" s="1">
        <v>18</v>
      </c>
      <c r="I21" s="1">
        <v>1</v>
      </c>
      <c r="J21" s="1">
        <v>29</v>
      </c>
      <c r="K21" s="1" t="s">
        <v>43</v>
      </c>
      <c r="L21" s="1">
        <v>91.6</v>
      </c>
    </row>
    <row r="22" spans="1:12" x14ac:dyDescent="0.25">
      <c r="A22" s="1">
        <v>21</v>
      </c>
      <c r="B22" s="4">
        <v>7.61</v>
      </c>
      <c r="C22" s="1">
        <v>238037</v>
      </c>
      <c r="D22" s="1">
        <v>19454</v>
      </c>
      <c r="E22" s="1">
        <v>61</v>
      </c>
      <c r="F22" s="1">
        <v>2</v>
      </c>
      <c r="G22" s="1">
        <v>9</v>
      </c>
      <c r="H22" s="1">
        <v>20</v>
      </c>
      <c r="I22" s="1">
        <v>29</v>
      </c>
      <c r="J22" s="1">
        <v>29</v>
      </c>
      <c r="K22" s="1" t="s">
        <v>44</v>
      </c>
      <c r="L22" s="1">
        <v>85</v>
      </c>
    </row>
    <row r="23" spans="1:12" x14ac:dyDescent="0.25">
      <c r="A23" s="1">
        <v>22</v>
      </c>
      <c r="B23" s="4">
        <v>7.62</v>
      </c>
      <c r="C23" s="1">
        <v>237655</v>
      </c>
      <c r="D23" s="1">
        <v>19454</v>
      </c>
      <c r="E23" s="1">
        <v>76</v>
      </c>
      <c r="F23" s="1">
        <v>25</v>
      </c>
      <c r="G23" s="1">
        <v>1</v>
      </c>
      <c r="H23" s="1">
        <v>15</v>
      </c>
      <c r="I23" s="1">
        <v>21</v>
      </c>
      <c r="J23" s="1">
        <v>29</v>
      </c>
      <c r="K23" s="1" t="s">
        <v>45</v>
      </c>
      <c r="L23" s="1">
        <v>85</v>
      </c>
    </row>
    <row r="24" spans="1:12" x14ac:dyDescent="0.25">
      <c r="A24" s="1">
        <v>23</v>
      </c>
      <c r="B24" s="4">
        <v>7.64</v>
      </c>
      <c r="C24" s="1">
        <v>238418</v>
      </c>
      <c r="D24" s="1">
        <v>19454</v>
      </c>
      <c r="E24" s="1">
        <v>76</v>
      </c>
      <c r="F24" s="1">
        <v>18</v>
      </c>
      <c r="G24" s="1">
        <v>25</v>
      </c>
      <c r="H24" s="1">
        <v>21</v>
      </c>
      <c r="I24" s="1">
        <v>16</v>
      </c>
      <c r="J24" s="1">
        <v>29</v>
      </c>
      <c r="K24" s="1" t="s">
        <v>46</v>
      </c>
      <c r="L24" s="1">
        <v>85</v>
      </c>
    </row>
    <row r="25" spans="1:12" x14ac:dyDescent="0.25">
      <c r="A25" s="1">
        <v>24</v>
      </c>
      <c r="B25" s="4">
        <v>7.64</v>
      </c>
      <c r="C25" s="1">
        <v>238418</v>
      </c>
      <c r="D25" s="1">
        <v>19454</v>
      </c>
      <c r="E25" s="1">
        <v>76</v>
      </c>
      <c r="F25" s="1">
        <v>19</v>
      </c>
      <c r="G25" s="1">
        <v>18</v>
      </c>
      <c r="H25" s="1">
        <v>18</v>
      </c>
      <c r="I25" s="1">
        <v>17</v>
      </c>
      <c r="J25" s="1">
        <v>29</v>
      </c>
      <c r="K25" s="1" t="s">
        <v>47</v>
      </c>
      <c r="L25" s="1">
        <v>85</v>
      </c>
    </row>
    <row r="26" spans="1:12" x14ac:dyDescent="0.25">
      <c r="A26" s="1">
        <v>25</v>
      </c>
      <c r="B26" s="4">
        <v>7.61</v>
      </c>
      <c r="C26" s="1">
        <v>238418</v>
      </c>
      <c r="D26" s="1">
        <v>19454</v>
      </c>
      <c r="E26" s="1">
        <v>76</v>
      </c>
      <c r="F26" s="1">
        <v>6</v>
      </c>
      <c r="G26" s="1">
        <v>24</v>
      </c>
      <c r="H26" s="1">
        <v>1</v>
      </c>
      <c r="I26" s="1">
        <v>13</v>
      </c>
      <c r="J26" s="1">
        <v>29</v>
      </c>
      <c r="K26" s="1" t="s">
        <v>48</v>
      </c>
      <c r="L26" s="1">
        <v>85</v>
      </c>
    </row>
    <row r="27" spans="1:12" x14ac:dyDescent="0.25">
      <c r="A27" s="1">
        <v>26</v>
      </c>
      <c r="B27" s="4">
        <v>11.29</v>
      </c>
      <c r="C27" s="1">
        <v>411605</v>
      </c>
      <c r="D27" s="1">
        <v>19454</v>
      </c>
      <c r="E27" s="1">
        <v>76</v>
      </c>
      <c r="F27" s="1">
        <v>29</v>
      </c>
      <c r="G27" s="1">
        <v>9</v>
      </c>
      <c r="H27" s="1">
        <v>30</v>
      </c>
      <c r="I27" s="1">
        <v>21</v>
      </c>
      <c r="J27" s="1">
        <v>29</v>
      </c>
      <c r="K27" s="1" t="s">
        <v>49</v>
      </c>
      <c r="L27" s="1">
        <v>72.400000000000006</v>
      </c>
    </row>
    <row r="28" spans="1:12" x14ac:dyDescent="0.25">
      <c r="A28" s="1">
        <v>27</v>
      </c>
      <c r="B28" s="4">
        <v>11.39</v>
      </c>
      <c r="C28" s="1">
        <v>411605</v>
      </c>
      <c r="D28" s="1">
        <v>19454</v>
      </c>
      <c r="E28" s="1">
        <v>76</v>
      </c>
      <c r="F28" s="1">
        <v>0</v>
      </c>
      <c r="G28" s="1">
        <v>26</v>
      </c>
      <c r="H28" s="1">
        <v>17</v>
      </c>
      <c r="I28" s="1">
        <v>17</v>
      </c>
      <c r="J28" s="1">
        <v>29</v>
      </c>
      <c r="K28" s="1" t="s">
        <v>50</v>
      </c>
      <c r="L28" s="1">
        <v>72.400000000000006</v>
      </c>
    </row>
    <row r="29" spans="1:12" x14ac:dyDescent="0.25">
      <c r="A29" s="1">
        <v>28</v>
      </c>
      <c r="B29" s="4">
        <v>11.42</v>
      </c>
      <c r="C29" s="1">
        <v>411987</v>
      </c>
      <c r="D29" s="1">
        <v>19454</v>
      </c>
      <c r="E29" s="1">
        <v>61</v>
      </c>
      <c r="F29" s="1">
        <v>0</v>
      </c>
      <c r="G29" s="1">
        <v>12</v>
      </c>
      <c r="H29" s="1">
        <v>15</v>
      </c>
      <c r="I29" s="1">
        <v>28</v>
      </c>
      <c r="J29" s="1">
        <v>29</v>
      </c>
      <c r="K29" s="1" t="s">
        <v>51</v>
      </c>
      <c r="L29" s="1">
        <v>72.400000000000006</v>
      </c>
    </row>
    <row r="30" spans="1:12" x14ac:dyDescent="0.25">
      <c r="A30" s="1">
        <v>29</v>
      </c>
      <c r="B30" s="4">
        <v>11.42</v>
      </c>
      <c r="C30" s="1">
        <v>411987</v>
      </c>
      <c r="D30" s="1">
        <v>19454</v>
      </c>
      <c r="E30" s="1">
        <v>83</v>
      </c>
      <c r="F30" s="1">
        <v>16</v>
      </c>
      <c r="G30" s="1">
        <v>10</v>
      </c>
      <c r="H30" s="1">
        <v>29</v>
      </c>
      <c r="I30" s="1">
        <v>2</v>
      </c>
      <c r="J30" s="1">
        <v>29</v>
      </c>
      <c r="K30" s="1" t="s">
        <v>52</v>
      </c>
      <c r="L30" s="1">
        <v>72.400000000000006</v>
      </c>
    </row>
    <row r="31" spans="1:12" x14ac:dyDescent="0.25">
      <c r="A31" s="1">
        <v>30</v>
      </c>
      <c r="B31" s="4">
        <v>11.43</v>
      </c>
      <c r="C31" s="1">
        <v>411987</v>
      </c>
      <c r="D31" s="1">
        <v>19454</v>
      </c>
      <c r="E31" s="1">
        <v>83</v>
      </c>
      <c r="F31" s="1">
        <v>11</v>
      </c>
      <c r="G31" s="1">
        <v>5</v>
      </c>
      <c r="H31" s="1">
        <v>6</v>
      </c>
      <c r="I31" s="1">
        <v>1</v>
      </c>
      <c r="J31" s="1">
        <v>29</v>
      </c>
      <c r="K31" s="1" t="s">
        <v>53</v>
      </c>
      <c r="L31" s="1">
        <v>72.400000000000006</v>
      </c>
    </row>
    <row r="32" spans="1:12" x14ac:dyDescent="0.25">
      <c r="B32" s="4"/>
    </row>
    <row r="58" ht="13.75" customHeight="1" x14ac:dyDescent="0.25"/>
  </sheetData>
  <mergeCells count="2">
    <mergeCell ref="W9:W14"/>
    <mergeCell ref="W15:W16"/>
  </mergeCells>
  <phoneticPr fontId="2" type="noConversion"/>
  <pageMargins left="0.7" right="0.7" top="0.75" bottom="0.75" header="0.3" footer="0.3"/>
  <pageSetup paperSize="9" orientation="portrait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qiyun888</dc:creator>
  <cp:lastModifiedBy>Peng 鹏 Li 李</cp:lastModifiedBy>
  <dcterms:created xsi:type="dcterms:W3CDTF">2006-09-16T00:00:00Z</dcterms:created>
  <dcterms:modified xsi:type="dcterms:W3CDTF">2026-04-27T05:12:29Z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092E8B01DD85439A9C5D9769C60CAADF_13</vt:lpwstr>
  </property>
  <property fmtid="{D5CDD505-2E9C-101B-9397-08002B2CF9AE}" pid="3" name="KSOProductBuildVer">
    <vt:lpwstr>2052-12.1.0.18909</vt:lpwstr>
  </property>
</Properties>
</file>